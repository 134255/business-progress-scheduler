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70250e10a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计划" sheetId="1" r:id="R5cd9d3954c364707"/>
    <x:sheet xmlns:r="http://schemas.openxmlformats.org/officeDocument/2006/relationships" name="任务排期" sheetId="2" r:id="Raacfac5ea44844af"/>
    <x:sheet xmlns:r="http://schemas.openxmlformats.org/officeDocument/2006/relationships" name="里程碑与验收" sheetId="3" r:id="R8c7601bd4ef3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1F3A5F"/>
      <x:name val="Carlito"/>
    </x:font>
    <x:font>
      <x:b/>
      <x:sz val="11"/>
      <x:color rgb="FFFFFFFF"/>
      <x:name val="Carlito"/>
    </x:font>
    <x:font>
      <x:b/>
      <x:sz val="11"/>
      <x:color rgb="FF1F3A5F"/>
      <x:name val="Carlito"/>
    </x:font>
    <x:font>
      <x:b/>
      <x:sz val="9"/>
      <x:color rgb="FFFFFFFF"/>
      <x:name val="Carlito"/>
    </x:font>
    <x:font>
      <x:b/>
      <x:sz val="11"/>
      <x:color rgb="FF0F766E"/>
      <x:name val="Carlito"/>
    </x:font>
    <x:font>
      <x:b/>
      <x:sz val="11"/>
      <x:color rgb="FF78350F"/>
      <x:name val="Carlito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sz val="18"/>
      <x:color rgb="FFFFFFFF"/>
      <x:name val="Microsoft YaHei"/>
    </x:font>
    <x:font>
      <x:sz val="10"/>
      <x:color rgb="FF1F3A5F"/>
      <x:name val="Microsoft YaHei"/>
    </x:font>
    <x:font>
      <x:b/>
      <x:sz val="10"/>
      <x:color rgb="FFFFFFFF"/>
      <x:name val="Microsoft YaHei"/>
    </x:font>
    <x:font>
      <x:b/>
      <x:sz val="9"/>
      <x:color rgb="FFFFFFFF"/>
      <x:name val="Microsoft YaHei"/>
    </x:font>
    <x:font>
      <x:b/>
      <x:sz val="10"/>
      <x:color rgb="FF78350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F3A5F"/>
      </x:patternFill>
    </x:fill>
    <x:fill>
      <x:patternFill patternType="solid">
        <x:fgColor rgb="FFFEF3C7"/>
      </x:patternFill>
    </x:fill>
  </x:fills>
  <x:borders count="10">
    <x:border/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4" fillId="0" borderId="7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2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/>
    </x:xf>
    <x:xf numFmtId="0" fontId="6" fillId="0" borderId="4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horizontal="center"/>
    </x:xf>
    <x:xf numFmtId="0" fontId="6" fillId="0" borderId="7" xfId="0" applyNumberFormat="1" applyFont="1" applyFill="1" applyBorder="1" applyAlignment="1">
      <x:alignment horizontal="center"/>
    </x:xf>
    <x:xf numFmtId="0" fontId="6" fillId="0" borderId="8" xfId="0" applyNumberFormat="1" applyFont="1" applyFill="1" applyBorder="1" applyAlignment="1">
      <x:alignment horizontal="center"/>
    </x:xf>
    <x:xf numFmtId="0" fontId="6" fillId="0" borderId="9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5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horizontal="center"/>
    </x:xf>
    <x:xf numFmtId="0" fontId="8" fillId="4" borderId="2" xfId="0" applyNumberFormat="1" applyFont="1" applyFill="1" applyBorder="1" applyAlignment="1">
      <x:alignment horizontal="center"/>
    </x:xf>
    <x:xf numFmtId="0" fontId="8" fillId="4" borderId="3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wrapText="1"/>
    </x:xf>
    <x:xf numFmtId="0" fontId="8" fillId="0" borderId="4" xfId="0" applyNumberFormat="1" applyFont="1" applyFill="1" applyBorder="1"/>
    <x:xf numFmtId="200" fontId="9" fillId="0" borderId="5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/>
    </x:xf>
    <x:xf numFmtId="0" fontId="8" fillId="0" borderId="3" xfId="0" applyNumberFormat="1" applyFont="1" applyFill="1" applyBorder="1" applyAlignment="1">
      <x:alignment horizontal="center"/>
    </x:xf>
    <x:xf numFmtId="0" fontId="8" fillId="0" borderId="4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/>
    </x:xf>
    <x:xf numFmtId="0" fontId="8" fillId="0" borderId="6" xfId="0" applyNumberFormat="1" applyFont="1" applyFill="1" applyBorder="1" applyAlignment="1">
      <x:alignment horizontal="center"/>
    </x:xf>
    <x:xf numFmtId="0" fontId="8" fillId="0" borderId="7" xfId="0" applyNumberFormat="1" applyFont="1" applyFill="1" applyBorder="1"/>
    <x:xf numFmtId="200" fontId="9" fillId="0" borderId="8" xfId="0" applyNumberFormat="1" applyFont="1" applyFill="1" applyBorder="1" applyAlignment="1">
      <x:alignment horizontal="center"/>
    </x:xf>
    <x:xf numFmtId="0" fontId="9" fillId="0" borderId="8" xfId="0" applyNumberFormat="1" applyFont="1" applyFill="1" applyBorder="1" applyAlignment="1">
      <x:alignment horizontal="center"/>
    </x:xf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8" fillId="0" borderId="7" xfId="0" applyNumberFormat="1" applyFont="1" applyFill="1" applyBorder="1" applyAlignment="1">
      <x:alignment horizontal="center"/>
    </x:xf>
    <x:xf numFmtId="0" fontId="8" fillId="0" borderId="8" xfId="0" applyNumberFormat="1" applyFont="1" applyFill="1" applyBorder="1" applyAlignment="1">
      <x:alignment horizontal="center"/>
    </x:xf>
    <x:xf numFmtId="0" fontId="8" fillId="0" borderId="9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201" fontId="9" fillId="0" borderId="5" xfId="0" applyNumberFormat="1" applyFont="1" applyFill="1" applyBorder="1"/>
    <x:xf numFmtId="200" fontId="9" fillId="0" borderId="8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horizontal="center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horizontal="center"/>
    </x:xf>
    <x:xf numFmtId="0" fontId="9" fillId="0" borderId="7" xfId="0" applyNumberFormat="1" applyFont="1" applyFill="1" applyBorder="1" applyAlignment="1">
      <x:alignment horizontal="center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2" xfId="0" applyNumberFormat="1" applyFont="1" applyFill="1" applyBorder="1" applyAlignment="1">
      <x:alignment horizontal="center" wrapText="1"/>
    </x:xf>
    <x:xf numFmtId="0" fontId="8" fillId="4" borderId="3" xfId="0" applyNumberFormat="1" applyFont="1" applyFill="1" applyBorder="1" applyAlignment="1">
      <x:alignment horizontal="center"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horizontal="center"/>
    </x:xf>
    <x:xf numFmtId="0" fontId="12" fillId="4" borderId="2" xfId="0" applyNumberFormat="1" applyFont="1" applyFill="1" applyBorder="1" applyAlignment="1">
      <x:alignment horizontal="center"/>
    </x:xf>
    <x:xf numFmtId="0" fontId="12" fillId="4" borderId="3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 applyAlignment="1">
      <x:alignment horizontal="center" wrapText="1"/>
    </x:xf>
    <x:xf numFmtId="0" fontId="12" fillId="4" borderId="2" xfId="0" applyNumberFormat="1" applyFont="1" applyFill="1" applyBorder="1" applyAlignment="1">
      <x:alignment horizontal="center" wrapText="1"/>
    </x:xf>
    <x:xf numFmtId="0" fontId="12" fillId="4" borderId="3" xfId="0" applyNumberFormat="1" applyFont="1" applyFill="1" applyBorder="1" applyAlignment="1">
      <x:alignment horizont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3" fillId="4" borderId="1" xfId="0" applyNumberFormat="1" applyFont="1" applyFill="1" applyBorder="1" applyAlignment="1">
      <x:alignment horizontal="center" vertic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8ea493a3849e1" /><Relationship Type="http://schemas.openxmlformats.org/officeDocument/2006/relationships/theme" Target="/xl/theme/theme1.xml" Id="Rc11ada79bde24d9d" /><Relationship Type="http://schemas.openxmlformats.org/officeDocument/2006/relationships/sharedStrings" Target="/xl/sharedStrings.xml" Id="R5bb78319d6fc40ac" /><Relationship Type="http://schemas.openxmlformats.org/officeDocument/2006/relationships/worksheet" Target="/xl/worksheets/sheet1.xml" Id="R5cd9d3954c364707" /><Relationship Type="http://schemas.openxmlformats.org/officeDocument/2006/relationships/worksheet" Target="/xl/worksheets/sheet2.xml" Id="Raacfac5ea44844af" /><Relationship Type="http://schemas.openxmlformats.org/officeDocument/2006/relationships/worksheet" Target="/xl/worksheets/sheet3.xml" Id="R8c7601bd4ef3479f" /><Relationship Type="http://schemas.microsoft.com/office/2017/10/relationships/person" Target="/xl/persons/person.xml" Id="R20983a7505404738" /></Relationships>
</file>

<file path=xl/persons/person.xml><?xml version="1.0" encoding="utf-8"?>
<xltc:personList xmlns:xltc="http://schemas.microsoft.com/office/spreadsheetml/2018/threadedcomments">
  <xltc:person displayName="项目组" id="{CA5F781C-136C-4ABE-A208-55308657896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0" hidden="0" customWidth="1"/>
    <x:col min="5" max="5" width="17" hidden="0" customWidth="1"/>
    <x:col min="6" max="6" width="21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34" customHeight="1">
      <x:c r="A1" s="120" t="str">
        <x:v>业务进度管理微信小程序｜8 周 MVP 开发计划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  <x:c r="O1" s="90"/>
    </x:row>
    <x:row r="2" ht="24" customHeight="1">
      <x:c r="A2" s="121" t="str">
        <x:v>基线日期：2026-08-03｜目标：2026-09-25 前完成体验版与试运行准备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  <x:c r="M3" s="90"/>
      <x:c r="N3" s="90"/>
      <x:c r="O3" s="90"/>
    </x:row>
    <x:row r="4">
      <x:c r="A4" s="143" t="str">
        <x:v>阶段</x:v>
      </x:c>
      <x:c r="B4" s="144" t="str">
        <x:v>开始</x:v>
      </x:c>
      <x:c r="C4" s="144" t="str">
        <x:v>结束</x:v>
      </x:c>
      <x:c r="D4" s="144" t="str">
        <x:v>工作日</x:v>
      </x:c>
      <x:c r="E4" s="144" t="str">
        <x:v>责任角色</x:v>
      </x:c>
      <x:c r="F4" s="144" t="str">
        <x:v>里程碑</x:v>
      </x:c>
      <x:c r="G4" s="145" t="str">
        <x:v>窗口</x:v>
      </x:c>
      <x:c r="H4" s="147" t="str">
        <x:v>W1
08/03-07</x:v>
      </x:c>
      <x:c r="I4" s="147" t="str">
        <x:v>W2
08/10-14</x:v>
      </x:c>
      <x:c r="J4" s="147" t="str">
        <x:v>W3
08/17-21</x:v>
      </x:c>
      <x:c r="K4" s="147" t="str">
        <x:v>W4
08/24-28</x:v>
      </x:c>
      <x:c r="L4" s="147" t="str">
        <x:v>W5
08/31-09/04</x:v>
      </x:c>
      <x:c r="M4" s="147" t="str">
        <x:v>W6
09/07-11</x:v>
      </x:c>
      <x:c r="N4" s="147" t="str">
        <x:v>W7
09/14-18</x:v>
      </x:c>
      <x:c r="O4" s="147" t="str">
        <x:v>W8
09/21-25</x:v>
      </x:c>
    </x:row>
    <x:row r="5">
      <x:c r="A5" s="96" t="str">
        <x:v>需求与架构基线</x:v>
      </x:c>
      <x:c r="B5" s="97" t="n">
        <x:v>46237.166666666664</x:v>
      </x:c>
      <x:c r="C5" s="97" t="n">
        <x:v>46241.166666666664</x:v>
      </x:c>
      <x:c r="D5" s="98" t="n">
        <x:f>NETWORKDAYS(B5,C5)</x:f>
        <x:v>5</x:v>
      </x:c>
      <x:c r="E5" s="99" t="str">
        <x:v>产品/架构</x:v>
      </x:c>
      <x:c r="F5" s="99" t="str">
        <x:v>M0 技术基线</x:v>
      </x:c>
      <x:c r="G5" s="100" t="str">
        <x:v>第1周</x:v>
      </x:c>
      <x:c r="H5" s="101" t="str">
        <x:v>●</x:v>
      </x:c>
      <x:c r="I5" s="102" t="str"/>
      <x:c r="J5" s="102" t="str"/>
      <x:c r="K5" s="102" t="str"/>
      <x:c r="L5" s="102" t="str"/>
      <x:c r="M5" s="102" t="str"/>
      <x:c r="N5" s="102" t="str"/>
      <x:c r="O5" s="103" t="str"/>
    </x:row>
    <x:row r="6">
      <x:c r="A6" s="96" t="str">
        <x:v>用户、权限与业务线</x:v>
      </x:c>
      <x:c r="B6" s="97" t="n">
        <x:v>46244.166666666664</x:v>
      </x:c>
      <x:c r="C6" s="97" t="n">
        <x:v>46248.166666666664</x:v>
      </x:c>
      <x:c r="D6" s="98" t="n">
        <x:f>NETWORKDAYS(B6,C6)</x:f>
        <x:v>5</x:v>
      </x:c>
      <x:c r="E6" s="99" t="str">
        <x:v>前端/后端</x:v>
      </x:c>
      <x:c r="F6" s="99" t="str">
        <x:v>M1 业务线闭环</x:v>
      </x:c>
      <x:c r="G6" s="100" t="str">
        <x:v>第2周</x:v>
      </x:c>
      <x:c r="H6" s="104" t="str"/>
      <x:c r="I6" s="105" t="str">
        <x:v>●</x:v>
      </x:c>
      <x:c r="J6" s="105" t="str"/>
      <x:c r="K6" s="105" t="str"/>
      <x:c r="L6" s="105" t="str"/>
      <x:c r="M6" s="105" t="str"/>
      <x:c r="N6" s="105" t="str"/>
      <x:c r="O6" s="106" t="str"/>
    </x:row>
    <x:row r="7">
      <x:c r="A7" s="96" t="str">
        <x:v>节点与模板</x:v>
      </x:c>
      <x:c r="B7" s="97" t="n">
        <x:v>46251.166666666664</x:v>
      </x:c>
      <x:c r="C7" s="97" t="n">
        <x:v>46262.166666666664</x:v>
      </x:c>
      <x:c r="D7" s="98" t="n">
        <x:f>NETWORKDAYS(B7,C7)</x:f>
        <x:v>10</x:v>
      </x:c>
      <x:c r="E7" s="99" t="str">
        <x:v>前端/后端</x:v>
      </x:c>
      <x:c r="F7" s="99" t="str">
        <x:v>M2 工作流闭环</x:v>
      </x:c>
      <x:c r="G7" s="100" t="str">
        <x:v>第3-4周</x:v>
      </x:c>
      <x:c r="H7" s="104" t="str"/>
      <x:c r="I7" s="105" t="str"/>
      <x:c r="J7" s="105" t="str">
        <x:v>●</x:v>
      </x:c>
      <x:c r="K7" s="105" t="str">
        <x:v>●</x:v>
      </x:c>
      <x:c r="L7" s="105" t="str"/>
      <x:c r="M7" s="105" t="str"/>
      <x:c r="N7" s="105" t="str"/>
      <x:c r="O7" s="106" t="str"/>
    </x:row>
    <x:row r="8">
      <x:c r="A8" s="96" t="str">
        <x:v>邀请与成员绑定</x:v>
      </x:c>
      <x:c r="B8" s="97" t="n">
        <x:v>46258.166666666664</x:v>
      </x:c>
      <x:c r="C8" s="97" t="n">
        <x:v>46262.166666666664</x:v>
      </x:c>
      <x:c r="D8" s="98" t="n">
        <x:f>NETWORKDAYS(B8,C8)</x:f>
        <x:v>5</x:v>
      </x:c>
      <x:c r="E8" s="99" t="str">
        <x:v>前端/后端</x:v>
      </x:c>
      <x:c r="F8" s="99" t="str">
        <x:v>邀请加入闭环</x:v>
      </x:c>
      <x:c r="G8" s="100" t="str">
        <x:v>第4周</x:v>
      </x:c>
      <x:c r="H8" s="104" t="str"/>
      <x:c r="I8" s="105" t="str"/>
      <x:c r="J8" s="105" t="str"/>
      <x:c r="K8" s="105" t="str">
        <x:v>●</x:v>
      </x:c>
      <x:c r="L8" s="105" t="str"/>
      <x:c r="M8" s="105" t="str"/>
      <x:c r="N8" s="105" t="str"/>
      <x:c r="O8" s="106" t="str"/>
    </x:row>
    <x:row r="9">
      <x:c r="A9" s="96" t="str">
        <x:v>反馈与凭证</x:v>
      </x:c>
      <x:c r="B9" s="97" t="n">
        <x:v>46265.166666666664</x:v>
      </x:c>
      <x:c r="C9" s="97" t="n">
        <x:v>46269.166666666664</x:v>
      </x:c>
      <x:c r="D9" s="98" t="n">
        <x:f>NETWORKDAYS(B9,C9)</x:f>
        <x:v>5</x:v>
      </x:c>
      <x:c r="E9" s="99" t="str">
        <x:v>前端/后端</x:v>
      </x:c>
      <x:c r="F9" s="99" t="str">
        <x:v>M3 凭证闭环</x:v>
      </x:c>
      <x:c r="G9" s="100" t="str">
        <x:v>第5周</x:v>
      </x:c>
      <x:c r="H9" s="104" t="str"/>
      <x:c r="I9" s="105" t="str"/>
      <x:c r="J9" s="105" t="str"/>
      <x:c r="K9" s="105" t="str"/>
      <x:c r="L9" s="105" t="str">
        <x:v>●</x:v>
      </x:c>
      <x:c r="M9" s="105" t="str"/>
      <x:c r="N9" s="105" t="str"/>
      <x:c r="O9" s="106" t="str"/>
    </x:row>
    <x:row r="10">
      <x:c r="A10" s="96" t="str">
        <x:v>检索与通知</x:v>
      </x:c>
      <x:c r="B10" s="97" t="n">
        <x:v>46272.166666666664</x:v>
      </x:c>
      <x:c r="C10" s="97" t="n">
        <x:v>46276.166666666664</x:v>
      </x:c>
      <x:c r="D10" s="98" t="n">
        <x:f>NETWORKDAYS(B10,C10)</x:f>
        <x:v>5</x:v>
      </x:c>
      <x:c r="E10" s="99" t="str">
        <x:v>前端/后端</x:v>
      </x:c>
      <x:c r="F10" s="99" t="str">
        <x:v>M4 提醒与检索</x:v>
      </x:c>
      <x:c r="G10" s="100" t="str">
        <x:v>第6周</x:v>
      </x:c>
      <x:c r="H10" s="104" t="str"/>
      <x:c r="I10" s="105" t="str"/>
      <x:c r="J10" s="105" t="str"/>
      <x:c r="K10" s="105" t="str"/>
      <x:c r="L10" s="105" t="str"/>
      <x:c r="M10" s="105" t="str">
        <x:v>●</x:v>
      </x:c>
      <x:c r="N10" s="105" t="str"/>
      <x:c r="O10" s="106" t="str"/>
    </x:row>
    <x:row r="11">
      <x:c r="A11" s="96" t="str">
        <x:v>质量与安全</x:v>
      </x:c>
      <x:c r="B11" s="97" t="n">
        <x:v>46279.166666666664</x:v>
      </x:c>
      <x:c r="C11" s="97" t="n">
        <x:v>46283.166666666664</x:v>
      </x:c>
      <x:c r="D11" s="98" t="n">
        <x:f>NETWORKDAYS(B11,C11)</x:f>
        <x:v>5</x:v>
      </x:c>
      <x:c r="E11" s="99" t="str">
        <x:v>QA/全栈</x:v>
      </x:c>
      <x:c r="F11" s="99" t="str">
        <x:v>M5 功能冻结</x:v>
      </x:c>
      <x:c r="G11" s="100" t="str">
        <x:v>第7周</x:v>
      </x:c>
      <x:c r="H11" s="104" t="str"/>
      <x:c r="I11" s="105" t="str"/>
      <x:c r="J11" s="105" t="str"/>
      <x:c r="K11" s="105" t="str"/>
      <x:c r="L11" s="105" t="str"/>
      <x:c r="M11" s="105" t="str"/>
      <x:c r="N11" s="105" t="str">
        <x:v>●</x:v>
      </x:c>
      <x:c r="O11" s="106" t="str"/>
    </x:row>
    <x:row r="12">
      <x:c r="A12" s="107" t="str">
        <x:v>UAT 与发布准备</x:v>
      </x:c>
      <x:c r="B12" s="108" t="n">
        <x:v>46286.166666666664</x:v>
      </x:c>
      <x:c r="C12" s="108" t="n">
        <x:v>46290.166666666664</x:v>
      </x:c>
      <x:c r="D12" s="109" t="n">
        <x:f>NETWORKDAYS(B12,C12)</x:f>
        <x:v>5</x:v>
      </x:c>
      <x:c r="E12" s="110" t="str">
        <x:v>产品/QA/运维</x:v>
      </x:c>
      <x:c r="F12" s="110" t="str">
        <x:v>M6 体验版</x:v>
      </x:c>
      <x:c r="G12" s="111" t="str">
        <x:v>第8周</x:v>
      </x:c>
      <x:c r="H12" s="112" t="str"/>
      <x:c r="I12" s="113" t="str"/>
      <x:c r="J12" s="113" t="str"/>
      <x:c r="K12" s="113" t="str"/>
      <x:c r="L12" s="113" t="str"/>
      <x:c r="M12" s="113" t="str"/>
      <x:c r="N12" s="113" t="str"/>
      <x:c r="O12" s="114" t="str">
        <x:v>●</x:v>
      </x:c>
    </x:row>
    <x:row r="13">
      <x:c r="A13" s="90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90"/>
      <x:c r="M13" s="90"/>
      <x:c r="N13" s="90"/>
      <x:c r="O13" s="90"/>
    </x:row>
    <x:row r="14">
      <x:c r="A14" s="148" t="str">
        <x:v>项目指标</x:v>
      </x:c>
      <x:c r="B14" s="149" t="str">
        <x:v>当前值</x:v>
      </x:c>
      <x:c r="C14" s="150" t="str">
        <x:v>说明</x:v>
      </x:c>
      <x:c r="D14" s="90"/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  <x:c r="O14" s="90"/>
    </x:row>
    <x:row r="15">
      <x:c r="A15" s="96" t="str">
        <x:v>任务总数</x:v>
      </x:c>
      <x:c r="B15" s="99" t="n">
        <x:f>COUNTA('任务排期'!$A$5:$A$39)</x:f>
        <x:v>35</x:v>
      </x:c>
      <x:c r="C15" s="100" t="str">
        <x:v>MVP 任务基线</x:v>
      </x:c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  <x:c r="O15" s="90"/>
    </x:row>
    <x:row r="16">
      <x:c r="A16" s="96" t="str">
        <x:v>已完成任务</x:v>
      </x:c>
      <x:c r="B16" s="99" t="n">
        <x:f>COUNTIF('任务排期'!$K$5:$K$39,"已完成")</x:f>
        <x:v>4</x:v>
      </x:c>
      <x:c r="C16" s="100" t="str">
        <x:v>以排期表状态自动统计</x:v>
      </x:c>
      <x:c r="D16" s="90"/>
      <x:c r="E16" s="90"/>
      <x:c r="F16" s="90"/>
      <x:c r="G16" s="90"/>
      <x:c r="H16" s="90"/>
      <x:c r="I16" s="90"/>
      <x:c r="J16" s="90"/>
      <x:c r="K16" s="90"/>
      <x:c r="L16" s="90"/>
      <x:c r="M16" s="90"/>
      <x:c r="N16" s="90"/>
      <x:c r="O16" s="90"/>
    </x:row>
    <x:row r="17">
      <x:c r="A17" s="96" t="str">
        <x:v>总体完成率</x:v>
      </x:c>
      <x:c r="B17" s="118" t="n">
        <x:f>B16/B15</x:f>
        <x:v>0.11428571428571428</x:v>
      </x:c>
      <x:c r="C17" s="100" t="str">
        <x:v>完成任务数 / 总任务数</x:v>
      </x:c>
      <x:c r="D17" s="90"/>
      <x:c r="E17" s="90"/>
      <x:c r="F17" s="90"/>
      <x:c r="G17" s="90"/>
      <x:c r="H17" s="90"/>
      <x:c r="I17" s="90"/>
      <x:c r="J17" s="90"/>
      <x:c r="K17" s="90"/>
      <x:c r="L17" s="90"/>
      <x:c r="M17" s="90"/>
      <x:c r="N17" s="90"/>
      <x:c r="O17" s="90"/>
    </x:row>
    <x:row r="18">
      <x:c r="A18" s="107" t="str">
        <x:v>计划完成日</x:v>
      </x:c>
      <x:c r="B18" s="119" t="n">
        <x:v>46290.166666666664</x:v>
      </x:c>
      <x:c r="C18" s="111" t="str">
        <x:v>体验版与试运行准备</x:v>
      </x:c>
      <x:c r="D18" s="90"/>
      <x:c r="E18" s="90"/>
      <x:c r="F18" s="90"/>
      <x:c r="G18" s="90"/>
      <x:c r="H18" s="90"/>
      <x:c r="I18" s="90"/>
      <x:c r="J18" s="90"/>
      <x:c r="K18" s="90"/>
      <x:c r="L18" s="90"/>
      <x:c r="M18" s="90"/>
      <x:c r="N18" s="90"/>
      <x:c r="O18" s="90"/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13" hidden="0" customWidth="1"/>
    <x:col min="5" max="5" width="13" hidden="0" customWidth="1"/>
    <x:col min="6" max="6" width="9" hidden="0" customWidth="1"/>
    <x:col min="7" max="7" width="15" hidden="0" customWidth="1"/>
    <x:col min="8" max="8" width="16" hidden="0" customWidth="1"/>
    <x:col min="9" max="9" width="22" hidden="0" customWidth="1"/>
    <x:col min="10" max="10" width="34" hidden="0" customWidth="1"/>
    <x:col min="11" max="11" width="11" hidden="0" customWidth="1"/>
    <x:col min="12" max="12" width="9" hidden="0" customWidth="1"/>
  </x:cols>
  <x:sheetData>
    <x:row r="1" ht="34" customHeight="1">
      <x:c r="A1" s="120" t="str">
        <x:v>MVP 任务排期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</x:row>
    <x:row r="2" ht="24" customHeight="1">
      <x:c r="A2" s="121" t="str">
        <x:v>状态可维护；工作日由开始/结束日期自动计算。负责人为角色，可在项目启动会上替换为姓名。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</x:row>
    <x:row r="3">
      <x:c r="A3" s="90"/>
      <x:c r="B3" s="90"/>
      <x:c r="C3" s="90"/>
      <x:c r="D3" s="90"/>
      <x:c r="E3" s="90"/>
      <x:c r="F3" s="90"/>
      <x:c r="G3" s="90"/>
      <x:c r="H3" s="90"/>
      <x:c r="I3" s="90"/>
      <x:c r="J3" s="90"/>
      <x:c r="K3" s="90"/>
      <x:c r="L3" s="90"/>
    </x:row>
    <x:row r="4">
      <x:c r="A4" s="151" t="str">
        <x:v>任务ID</x:v>
      </x:c>
      <x:c r="B4" s="152" t="str">
        <x:v>阶段</x:v>
      </x:c>
      <x:c r="C4" s="152" t="str">
        <x:v>任务</x:v>
      </x:c>
      <x:c r="D4" s="152" t="str">
        <x:v>开始日期</x:v>
      </x:c>
      <x:c r="E4" s="152" t="str">
        <x:v>结束日期</x:v>
      </x:c>
      <x:c r="F4" s="152" t="str">
        <x:v>工作日</x:v>
      </x:c>
      <x:c r="G4" s="152" t="str">
        <x:v>责任角色</x:v>
      </x:c>
      <x:c r="H4" s="152" t="str">
        <x:v>依赖</x:v>
      </x:c>
      <x:c r="I4" s="152" t="str">
        <x:v>交付物</x:v>
      </x:c>
      <x:c r="J4" s="152" t="str">
        <x:v>验收标准</x:v>
      </x:c>
      <x:c r="K4" s="152" t="str">
        <x:v>状态</x:v>
      </x:c>
      <x:c r="L4" s="153" t="str">
        <x:v>优先级</x:v>
      </x:c>
    </x:row>
    <x:row r="5">
      <x:c r="A5" s="125" t="str">
        <x:v>T001</x:v>
      </x:c>
      <x:c r="B5" s="126" t="str">
        <x:v>需求与架构基线</x:v>
      </x:c>
      <x:c r="C5" s="126" t="str">
        <x:v>需求澄清与 MVP 边界</x:v>
      </x:c>
      <x:c r="D5" s="97" t="n">
        <x:v>46237.166666666664</x:v>
      </x:c>
      <x:c r="E5" s="97" t="n">
        <x:v>46237.166666666664</x:v>
      </x:c>
      <x:c r="F5" s="98" t="n">
        <x:f>NETWORKDAYS(D5,E5)</x:f>
        <x:v>1</x:v>
      </x:c>
      <x:c r="G5" s="99" t="str">
        <x:v>产品负责人</x:v>
      </x:c>
      <x:c r="H5" s="126" t="str">
        <x:v>-</x:v>
      </x:c>
      <x:c r="I5" s="126" t="str">
        <x:v>需求基线</x:v>
      </x:c>
      <x:c r="J5" s="126" t="str">
        <x:v>角色、流程、范围无关键歧义</x:v>
      </x:c>
      <x:c r="K5" s="98" t="str">
        <x:v>已完成</x:v>
      </x:c>
      <x:c r="L5" s="127" t="str">
        <x:v>P0</x:v>
      </x:c>
    </x:row>
    <x:row r="6">
      <x:c r="A6" s="125" t="str">
        <x:v>T002</x:v>
      </x:c>
      <x:c r="B6" s="126" t="str">
        <x:v>需求与架构基线</x:v>
      </x:c>
      <x:c r="C6" s="126" t="str">
        <x:v>技术选型与架构设计</x:v>
      </x:c>
      <x:c r="D6" s="97" t="n">
        <x:v>46237.166666666664</x:v>
      </x:c>
      <x:c r="E6" s="97" t="n">
        <x:v>46238.166666666664</x:v>
      </x:c>
      <x:c r="F6" s="98" t="n">
        <x:f>NETWORKDAYS(D6,E6)</x:f>
        <x:v>2</x:v>
      </x:c>
      <x:c r="G6" s="99" t="str">
        <x:v>技术负责人</x:v>
      </x:c>
      <x:c r="H6" s="126" t="str">
        <x:v>T001</x:v>
      </x:c>
      <x:c r="I6" s="126" t="str">
        <x:v>技术规划</x:v>
      </x:c>
      <x:c r="J6" s="126" t="str">
        <x:v>前后端、存储、通知和权限方案明确</x:v>
      </x:c>
      <x:c r="K6" s="98" t="str">
        <x:v>已完成</x:v>
      </x:c>
      <x:c r="L6" s="127" t="str">
        <x:v>P0</x:v>
      </x:c>
    </x:row>
    <x:row r="7">
      <x:c r="A7" s="125" t="str">
        <x:v>T003</x:v>
      </x:c>
      <x:c r="B7" s="126" t="str">
        <x:v>需求与架构基线</x:v>
      </x:c>
      <x:c r="C7" s="126" t="str">
        <x:v>数据模型与权限矩阵</x:v>
      </x:c>
      <x:c r="D7" s="97" t="n">
        <x:v>46238.166666666664</x:v>
      </x:c>
      <x:c r="E7" s="97" t="n">
        <x:v>46239.166666666664</x:v>
      </x:c>
      <x:c r="F7" s="98" t="n">
        <x:f>NETWORKDAYS(D7,E7)</x:f>
        <x:v>2</x:v>
      </x:c>
      <x:c r="G7" s="99" t="str">
        <x:v>后端开发</x:v>
      </x:c>
      <x:c r="H7" s="126" t="str">
        <x:v>T002</x:v>
      </x:c>
      <x:c r="I7" s="126" t="str">
        <x:v>数据字典</x:v>
      </x:c>
      <x:c r="J7" s="126" t="str">
        <x:v>集合、索引和角色操作可追溯</x:v>
      </x:c>
      <x:c r="K7" s="98" t="str">
        <x:v>已完成</x:v>
      </x:c>
      <x:c r="L7" s="127" t="str">
        <x:v>P0</x:v>
      </x:c>
    </x:row>
    <x:row r="8">
      <x:c r="A8" s="125" t="str">
        <x:v>T004</x:v>
      </x:c>
      <x:c r="B8" s="126" t="str">
        <x:v>需求与架构基线</x:v>
      </x:c>
      <x:c r="C8" s="126" t="str">
        <x:v>小程序与云函数工程骨架</x:v>
      </x:c>
      <x:c r="D8" s="97" t="n">
        <x:v>46239.166666666664</x:v>
      </x:c>
      <x:c r="E8" s="97" t="n">
        <x:v>46241.166666666664</x:v>
      </x:c>
      <x:c r="F8" s="98" t="n">
        <x:f>NETWORKDAYS(D8,E8)</x:f>
        <x:v>3</x:v>
      </x:c>
      <x:c r="G8" s="99" t="str">
        <x:v>全栈开发</x:v>
      </x:c>
      <x:c r="H8" s="126" t="str">
        <x:v>T002</x:v>
      </x:c>
      <x:c r="I8" s="126" t="str">
        <x:v>可导入工程</x:v>
      </x:c>
      <x:c r="J8" s="126" t="str">
        <x:v>微信开发者工具可导入，语法检查通过</x:v>
      </x:c>
      <x:c r="K8" s="98" t="str">
        <x:v>已完成</x:v>
      </x:c>
      <x:c r="L8" s="127" t="str">
        <x:v>P0</x:v>
      </x:c>
    </x:row>
    <x:row r="9">
      <x:c r="A9" s="125" t="str">
        <x:v>T005</x:v>
      </x:c>
      <x:c r="B9" s="126" t="str">
        <x:v>需求与架构基线</x:v>
      </x:c>
      <x:c r="C9" s="126" t="str">
        <x:v>AppID、云环境与集合初始化</x:v>
      </x:c>
      <x:c r="D9" s="97" t="n">
        <x:v>46240.166666666664</x:v>
      </x:c>
      <x:c r="E9" s="97" t="n">
        <x:v>46241.166666666664</x:v>
      </x:c>
      <x:c r="F9" s="98" t="n">
        <x:f>NETWORKDAYS(D9,E9)</x:f>
        <x:v>2</x:v>
      </x:c>
      <x:c r="G9" s="99" t="str">
        <x:v>运维/开发</x:v>
      </x:c>
      <x:c r="H9" s="126" t="str">
        <x:v>T004</x:v>
      </x:c>
      <x:c r="I9" s="126" t="str">
        <x:v>开发环境</x:v>
      </x:c>
      <x:c r="J9" s="126" t="str">
        <x:v>真实 AppID 可调用 businessApi</x:v>
      </x:c>
      <x:c r="K9" s="98" t="str">
        <x:v>待配置</x:v>
      </x:c>
      <x:c r="L9" s="127" t="str">
        <x:v>P0</x:v>
      </x:c>
    </x:row>
    <x:row r="10">
      <x:c r="A10" s="125" t="str">
        <x:v>T006</x:v>
      </x:c>
      <x:c r="B10" s="126" t="str">
        <x:v>用户、权限与业务线</x:v>
      </x:c>
      <x:c r="C10" s="126" t="str">
        <x:v>用户初始化与资料维护</x:v>
      </x:c>
      <x:c r="D10" s="97" t="n">
        <x:v>46244.166666666664</x:v>
      </x:c>
      <x:c r="E10" s="97" t="n">
        <x:v>46244.166666666664</x:v>
      </x:c>
      <x:c r="F10" s="98" t="n">
        <x:f>NETWORKDAYS(D10,E10)</x:f>
        <x:v>1</x:v>
      </x:c>
      <x:c r="G10" s="99" t="str">
        <x:v>后端开发</x:v>
      </x:c>
      <x:c r="H10" s="126" t="str">
        <x:v>T005</x:v>
      </x:c>
      <x:c r="I10" s="126" t="str">
        <x:v>用户模块</x:v>
      </x:c>
      <x:c r="J10" s="126" t="str">
        <x:v>OpenID 唯一建档且状态可控</x:v>
      </x:c>
      <x:c r="K10" s="98" t="str">
        <x:v>进行中</x:v>
      </x:c>
      <x:c r="L10" s="127" t="str">
        <x:v>P0</x:v>
      </x:c>
    </x:row>
    <x:row r="11">
      <x:c r="A11" s="125" t="str">
        <x:v>T007</x:v>
      </x:c>
      <x:c r="B11" s="126" t="str">
        <x:v>用户、权限与业务线</x:v>
      </x:c>
      <x:c r="C11" s="126" t="str">
        <x:v>业务线创建与唯一编号</x:v>
      </x:c>
      <x:c r="D11" s="97" t="n">
        <x:v>46244.166666666664</x:v>
      </x:c>
      <x:c r="E11" s="97" t="n">
        <x:v>46245.166666666664</x:v>
      </x:c>
      <x:c r="F11" s="98" t="n">
        <x:f>NETWORKDAYS(D11,E11)</x:f>
        <x:v>2</x:v>
      </x:c>
      <x:c r="G11" s="99" t="str">
        <x:v>全栈开发</x:v>
      </x:c>
      <x:c r="H11" s="126" t="str">
        <x:v>T006</x:v>
      </x:c>
      <x:c r="I11" s="126" t="str">
        <x:v>创建页面/API</x:v>
      </x:c>
      <x:c r="J11" s="126" t="str">
        <x:v>可创建含至少一个节点的业务线</x:v>
      </x:c>
      <x:c r="K11" s="98" t="str">
        <x:v>进行中</x:v>
      </x:c>
      <x:c r="L11" s="127" t="str">
        <x:v>P0</x:v>
      </x:c>
    </x:row>
    <x:row r="12">
      <x:c r="A12" s="125" t="str">
        <x:v>T008</x:v>
      </x:c>
      <x:c r="B12" s="126" t="str">
        <x:v>用户、权限与业务线</x:v>
      </x:c>
      <x:c r="C12" s="126" t="str">
        <x:v>业务线列表、详情与分页</x:v>
      </x:c>
      <x:c r="D12" s="97" t="n">
        <x:v>46245.166666666664</x:v>
      </x:c>
      <x:c r="E12" s="97" t="n">
        <x:v>46246.166666666664</x:v>
      </x:c>
      <x:c r="F12" s="98" t="n">
        <x:f>NETWORKDAYS(D12,E12)</x:f>
        <x:v>2</x:v>
      </x:c>
      <x:c r="G12" s="99" t="str">
        <x:v>前端开发</x:v>
      </x:c>
      <x:c r="H12" s="126" t="str">
        <x:v>T007</x:v>
      </x:c>
      <x:c r="I12" s="126" t="str">
        <x:v>列表与详情</x:v>
      </x:c>
      <x:c r="J12" s="126" t="str">
        <x:v>成员只能看到关联业务</x:v>
      </x:c>
      <x:c r="K12" s="98" t="str">
        <x:v>进行中</x:v>
      </x:c>
      <x:c r="L12" s="127" t="str">
        <x:v>P0</x:v>
      </x:c>
    </x:row>
    <x:row r="13">
      <x:c r="A13" s="125" t="str">
        <x:v>T009</x:v>
      </x:c>
      <x:c r="B13" s="126" t="str">
        <x:v>用户、权限与业务线</x:v>
      </x:c>
      <x:c r="C13" s="126" t="str">
        <x:v>业务线编辑与版本控制</x:v>
      </x:c>
      <x:c r="D13" s="97" t="n">
        <x:v>46246.166666666664</x:v>
      </x:c>
      <x:c r="E13" s="97" t="n">
        <x:v>46247.166666666664</x:v>
      </x:c>
      <x:c r="F13" s="98" t="n">
        <x:f>NETWORKDAYS(D13,E13)</x:f>
        <x:v>2</x:v>
      </x:c>
      <x:c r="G13" s="99" t="str">
        <x:v>全栈开发</x:v>
      </x:c>
      <x:c r="H13" s="126" t="str">
        <x:v>T007</x:v>
      </x:c>
      <x:c r="I13" s="126" t="str">
        <x:v>编辑能力</x:v>
      </x:c>
      <x:c r="J13" s="126" t="str">
        <x:v>并发更新不覆盖他人改动</x:v>
      </x:c>
      <x:c r="K13" s="98" t="str">
        <x:v>进行中</x:v>
      </x:c>
      <x:c r="L13" s="127" t="str">
        <x:v>P0</x:v>
      </x:c>
    </x:row>
    <x:row r="14">
      <x:c r="A14" s="125" t="str">
        <x:v>T010</x:v>
      </x:c>
      <x:c r="B14" s="126" t="str">
        <x:v>用户、权限与业务线</x:v>
      </x:c>
      <x:c r="C14" s="126" t="str">
        <x:v>管理员逻辑删除与审计</x:v>
      </x:c>
      <x:c r="D14" s="97" t="n">
        <x:v>46247.166666666664</x:v>
      </x:c>
      <x:c r="E14" s="97" t="n">
        <x:v>46248.166666666664</x:v>
      </x:c>
      <x:c r="F14" s="98" t="n">
        <x:f>NETWORKDAYS(D14,E14)</x:f>
        <x:v>2</x:v>
      </x:c>
      <x:c r="G14" s="99" t="str">
        <x:v>后端开发</x:v>
      </x:c>
      <x:c r="H14" s="126" t="str">
        <x:v>T009</x:v>
      </x:c>
      <x:c r="I14" s="126" t="str">
        <x:v>删除/审计</x:v>
      </x:c>
      <x:c r="J14" s="126" t="str">
        <x:v>非管理员请求被拒绝并留痕</x:v>
      </x:c>
      <x:c r="K14" s="98" t="str">
        <x:v>进行中</x:v>
      </x:c>
      <x:c r="L14" s="127" t="str">
        <x:v>P0</x:v>
      </x:c>
    </x:row>
    <x:row r="15">
      <x:c r="A15" s="125" t="str">
        <x:v>T011</x:v>
      </x:c>
      <x:c r="B15" s="126" t="str">
        <x:v>节点与模板</x:v>
      </x:c>
      <x:c r="C15" s="126" t="str">
        <x:v>动态节点编辑器</x:v>
      </x:c>
      <x:c r="D15" s="97" t="n">
        <x:v>46251.166666666664</x:v>
      </x:c>
      <x:c r="E15" s="97" t="n">
        <x:v>46252.166666666664</x:v>
      </x:c>
      <x:c r="F15" s="98" t="n">
        <x:f>NETWORKDAYS(D15,E15)</x:f>
        <x:v>2</x:v>
      </x:c>
      <x:c r="G15" s="99" t="str">
        <x:v>前端开发</x:v>
      </x:c>
      <x:c r="H15" s="126" t="str">
        <x:v>T009</x:v>
      </x:c>
      <x:c r="I15" s="126" t="str">
        <x:v>节点表单</x:v>
      </x:c>
      <x:c r="J15" s="126" t="str">
        <x:v>支持增删、排序和必传凭证配置</x:v>
      </x:c>
      <x:c r="K15" s="98" t="str">
        <x:v>未开始</x:v>
      </x:c>
      <x:c r="L15" s="127" t="str">
        <x:v>P0</x:v>
      </x:c>
    </x:row>
    <x:row r="16">
      <x:c r="A16" s="125" t="str">
        <x:v>T012</x:v>
      </x:c>
      <x:c r="B16" s="126" t="str">
        <x:v>节点与模板</x:v>
      </x:c>
      <x:c r="C16" s="126" t="str">
        <x:v>节点状态机与流转校验</x:v>
      </x:c>
      <x:c r="D16" s="97" t="n">
        <x:v>46251.166666666664</x:v>
      </x:c>
      <x:c r="E16" s="97" t="n">
        <x:v>46253.166666666664</x:v>
      </x:c>
      <x:c r="F16" s="98" t="n">
        <x:f>NETWORKDAYS(D16,E16)</x:f>
        <x:v>3</x:v>
      </x:c>
      <x:c r="G16" s="99" t="str">
        <x:v>后端开发</x:v>
      </x:c>
      <x:c r="H16" s="126" t="str">
        <x:v>T007</x:v>
      </x:c>
      <x:c r="I16" s="126" t="str">
        <x:v>状态机</x:v>
      </x:c>
      <x:c r="J16" s="126" t="str">
        <x:v>非法迁移被拒绝，完成后激活下一节点</x:v>
      </x:c>
      <x:c r="K16" s="98" t="str">
        <x:v>未开始</x:v>
      </x:c>
      <x:c r="L16" s="127" t="str">
        <x:v>P0</x:v>
      </x:c>
    </x:row>
    <x:row r="17">
      <x:c r="A17" s="125" t="str">
        <x:v>T013</x:v>
      </x:c>
      <x:c r="B17" s="126" t="str">
        <x:v>节点与模板</x:v>
      </x:c>
      <x:c r="C17" s="126" t="str">
        <x:v>总体进度计算与时间线</x:v>
      </x:c>
      <x:c r="D17" s="97" t="n">
        <x:v>46253.166666666664</x:v>
      </x:c>
      <x:c r="E17" s="97" t="n">
        <x:v>46254.166666666664</x:v>
      </x:c>
      <x:c r="F17" s="98" t="n">
        <x:f>NETWORKDAYS(D17,E17)</x:f>
        <x:v>2</x:v>
      </x:c>
      <x:c r="G17" s="99" t="str">
        <x:v>全栈开发</x:v>
      </x:c>
      <x:c r="H17" s="126" t="str">
        <x:v>T011,T012</x:v>
      </x:c>
      <x:c r="I17" s="126" t="str">
        <x:v>进度时间线</x:v>
      </x:c>
      <x:c r="J17" s="126" t="str">
        <x:v>当前节点和百分比一致</x:v>
      </x:c>
      <x:c r="K17" s="98" t="str">
        <x:v>未开始</x:v>
      </x:c>
      <x:c r="L17" s="127" t="str">
        <x:v>P0</x:v>
      </x:c>
    </x:row>
    <x:row r="18">
      <x:c r="A18" s="125" t="str">
        <x:v>T014</x:v>
      </x:c>
      <x:c r="B18" s="126" t="str">
        <x:v>节点与模板</x:v>
      </x:c>
      <x:c r="C18" s="126" t="str">
        <x:v>模板数据模型与列表</x:v>
      </x:c>
      <x:c r="D18" s="97" t="n">
        <x:v>46254.166666666664</x:v>
      </x:c>
      <x:c r="E18" s="97" t="n">
        <x:v>46255.166666666664</x:v>
      </x:c>
      <x:c r="F18" s="98" t="n">
        <x:f>NETWORKDAYS(D18,E18)</x:f>
        <x:v>2</x:v>
      </x:c>
      <x:c r="G18" s="99" t="str">
        <x:v>全栈开发</x:v>
      </x:c>
      <x:c r="H18" s="126" t="str">
        <x:v>T011</x:v>
      </x:c>
      <x:c r="I18" s="126" t="str">
        <x:v>模板列表</x:v>
      </x:c>
      <x:c r="J18" s="126" t="str">
        <x:v>可查看本人有权使用的模板</x:v>
      </x:c>
      <x:c r="K18" s="98" t="str">
        <x:v>未开始</x:v>
      </x:c>
      <x:c r="L18" s="127" t="str">
        <x:v>P1</x:v>
      </x:c>
    </x:row>
    <x:row r="19">
      <x:c r="A19" s="125" t="str">
        <x:v>T015</x:v>
      </x:c>
      <x:c r="B19" s="126" t="str">
        <x:v>节点与模板</x:v>
      </x:c>
      <x:c r="C19" s="126" t="str">
        <x:v>保存为模板与模板创建</x:v>
      </x:c>
      <x:c r="D19" s="97" t="n">
        <x:v>46258.166666666664</x:v>
      </x:c>
      <x:c r="E19" s="97" t="n">
        <x:v>46259.166666666664</x:v>
      </x:c>
      <x:c r="F19" s="98" t="n">
        <x:f>NETWORKDAYS(D19,E19)</x:f>
        <x:v>2</x:v>
      </x:c>
      <x:c r="G19" s="99" t="str">
        <x:v>全栈开发</x:v>
      </x:c>
      <x:c r="H19" s="126" t="str">
        <x:v>T014</x:v>
      </x:c>
      <x:c r="I19" s="126" t="str">
        <x:v>模板闭环</x:v>
      </x:c>
      <x:c r="J19" s="126" t="str">
        <x:v>节点顺序和规则复制正确</x:v>
      </x:c>
      <x:c r="K19" s="98" t="str">
        <x:v>未开始</x:v>
      </x:c>
      <x:c r="L19" s="127" t="str">
        <x:v>P1</x:v>
      </x:c>
    </x:row>
    <x:row r="20">
      <x:c r="A20" s="125" t="str">
        <x:v>T016</x:v>
      </x:c>
      <x:c r="B20" s="126" t="str">
        <x:v>邀请与成员绑定</x:v>
      </x:c>
      <x:c r="C20" s="126" t="str">
        <x:v>邀请 token 与有效期</x:v>
      </x:c>
      <x:c r="D20" s="97" t="n">
        <x:v>46258.166666666664</x:v>
      </x:c>
      <x:c r="E20" s="97" t="n">
        <x:v>46259.166666666664</x:v>
      </x:c>
      <x:c r="F20" s="98" t="n">
        <x:f>NETWORKDAYS(D20,E20)</x:f>
        <x:v>2</x:v>
      </x:c>
      <x:c r="G20" s="99" t="str">
        <x:v>后端开发</x:v>
      </x:c>
      <x:c r="H20" s="126" t="str">
        <x:v>T010</x:v>
      </x:c>
      <x:c r="I20" s="126" t="str">
        <x:v>邀请 API</x:v>
      </x:c>
      <x:c r="J20" s="126" t="str">
        <x:v>一次性 token 可撤销、过期不可用</x:v>
      </x:c>
      <x:c r="K20" s="98" t="str">
        <x:v>未开始</x:v>
      </x:c>
      <x:c r="L20" s="127" t="str">
        <x:v>P0</x:v>
      </x:c>
    </x:row>
    <x:row r="21">
      <x:c r="A21" s="125" t="str">
        <x:v>T017</x:v>
      </x:c>
      <x:c r="B21" s="126" t="str">
        <x:v>邀请与成员绑定</x:v>
      </x:c>
      <x:c r="C21" s="126" t="str">
        <x:v>分享链接/二维码加入页</x:v>
      </x:c>
      <x:c r="D21" s="97" t="n">
        <x:v>46259.166666666664</x:v>
      </x:c>
      <x:c r="E21" s="97" t="n">
        <x:v>46260.166666666664</x:v>
      </x:c>
      <x:c r="F21" s="98" t="n">
        <x:f>NETWORKDAYS(D21,E21)</x:f>
        <x:v>2</x:v>
      </x:c>
      <x:c r="G21" s="99" t="str">
        <x:v>前端开发</x:v>
      </x:c>
      <x:c r="H21" s="126" t="str">
        <x:v>T016</x:v>
      </x:c>
      <x:c r="I21" s="126" t="str">
        <x:v>加入页面</x:v>
      </x:c>
      <x:c r="J21" s="126" t="str">
        <x:v>用户明确确认后加入</x:v>
      </x:c>
      <x:c r="K21" s="98" t="str">
        <x:v>未开始</x:v>
      </x:c>
      <x:c r="L21" s="127" t="str">
        <x:v>P0</x:v>
      </x:c>
    </x:row>
    <x:row r="22">
      <x:c r="A22" s="125" t="str">
        <x:v>T018</x:v>
      </x:c>
      <x:c r="B22" s="126" t="str">
        <x:v>邀请与成员绑定</x:v>
      </x:c>
      <x:c r="C22" s="126" t="str">
        <x:v>成员角色和节点负责人绑定</x:v>
      </x:c>
      <x:c r="D22" s="97" t="n">
        <x:v>46260.166666666664</x:v>
      </x:c>
      <x:c r="E22" s="97" t="n">
        <x:v>46261.166666666664</x:v>
      </x:c>
      <x:c r="F22" s="98" t="n">
        <x:f>NETWORKDAYS(D22,E22)</x:f>
        <x:v>2</x:v>
      </x:c>
      <x:c r="G22" s="99" t="str">
        <x:v>全栈开发</x:v>
      </x:c>
      <x:c r="H22" s="126" t="str">
        <x:v>T017</x:v>
      </x:c>
      <x:c r="I22" s="126" t="str">
        <x:v>成员管理</x:v>
      </x:c>
      <x:c r="J22" s="126" t="str">
        <x:v>管理员可绑定，非管理员不可修改</x:v>
      </x:c>
      <x:c r="K22" s="98" t="str">
        <x:v>未开始</x:v>
      </x:c>
      <x:c r="L22" s="127" t="str">
        <x:v>P0</x:v>
      </x:c>
    </x:row>
    <x:row r="23">
      <x:c r="A23" s="125" t="str">
        <x:v>T019</x:v>
      </x:c>
      <x:c r="B23" s="126" t="str">
        <x:v>邀请与成员绑定</x:v>
      </x:c>
      <x:c r="C23" s="126" t="str">
        <x:v>邀请与越权集成测试</x:v>
      </x:c>
      <x:c r="D23" s="97" t="n">
        <x:v>46262.166666666664</x:v>
      </x:c>
      <x:c r="E23" s="97" t="n">
        <x:v>46262.166666666664</x:v>
      </x:c>
      <x:c r="F23" s="98" t="n">
        <x:f>NETWORKDAYS(D23,E23)</x:f>
        <x:v>1</x:v>
      </x:c>
      <x:c r="G23" s="99" t="str">
        <x:v>QA</x:v>
      </x:c>
      <x:c r="H23" s="126" t="str">
        <x:v>T016,T017,T018</x:v>
      </x:c>
      <x:c r="I23" s="126" t="str">
        <x:v>测试记录</x:v>
      </x:c>
      <x:c r="J23" s="126" t="str">
        <x:v>过期、重复、越权用例全部通过</x:v>
      </x:c>
      <x:c r="K23" s="98" t="str">
        <x:v>未开始</x:v>
      </x:c>
      <x:c r="L23" s="127" t="str">
        <x:v>P0</x:v>
      </x:c>
    </x:row>
    <x:row r="24">
      <x:c r="A24" s="125" t="str">
        <x:v>T020</x:v>
      </x:c>
      <x:c r="B24" s="126" t="str">
        <x:v>反馈与凭证</x:v>
      </x:c>
      <x:c r="C24" s="126" t="str">
        <x:v>节点反馈表单与历史</x:v>
      </x:c>
      <x:c r="D24" s="97" t="n">
        <x:v>46265.166666666664</x:v>
      </x:c>
      <x:c r="E24" s="97" t="n">
        <x:v>46266.166666666664</x:v>
      </x:c>
      <x:c r="F24" s="98" t="n">
        <x:f>NETWORKDAYS(D24,E24)</x:f>
        <x:v>2</x:v>
      </x:c>
      <x:c r="G24" s="99" t="str">
        <x:v>全栈开发</x:v>
      </x:c>
      <x:c r="H24" s="126" t="str">
        <x:v>T012,T018</x:v>
      </x:c>
      <x:c r="I24" s="126" t="str">
        <x:v>反馈闭环</x:v>
      </x:c>
      <x:c r="J24" s="126" t="str">
        <x:v>负责人可提交且历史可追溯</x:v>
      </x:c>
      <x:c r="K24" s="98" t="str">
        <x:v>未开始</x:v>
      </x:c>
      <x:c r="L24" s="127" t="str">
        <x:v>P0</x:v>
      </x:c>
    </x:row>
    <x:row r="25">
      <x:c r="A25" s="125" t="str">
        <x:v>T021</x:v>
      </x:c>
      <x:c r="B25" s="126" t="str">
        <x:v>反馈与凭证</x:v>
      </x:c>
      <x:c r="C25" s="126" t="str">
        <x:v>图片/PDF 选择与云上传</x:v>
      </x:c>
      <x:c r="D25" s="97" t="n">
        <x:v>46266.166666666664</x:v>
      </x:c>
      <x:c r="E25" s="97" t="n">
        <x:v>46267.166666666664</x:v>
      </x:c>
      <x:c r="F25" s="98" t="n">
        <x:f>NETWORKDAYS(D25,E25)</x:f>
        <x:v>2</x:v>
      </x:c>
      <x:c r="G25" s="99" t="str">
        <x:v>前端开发</x:v>
      </x:c>
      <x:c r="H25" s="126" t="str">
        <x:v>T020</x:v>
      </x:c>
      <x:c r="I25" s="126" t="str">
        <x:v>上传能力</x:v>
      </x:c>
      <x:c r="J25" s="126" t="str">
        <x:v>类型、大小和数量限制生效</x:v>
      </x:c>
      <x:c r="K25" s="98" t="str">
        <x:v>未开始</x:v>
      </x:c>
      <x:c r="L25" s="127" t="str">
        <x:v>P0</x:v>
      </x:c>
    </x:row>
    <x:row r="26">
      <x:c r="A26" s="125" t="str">
        <x:v>T022</x:v>
      </x:c>
      <x:c r="B26" s="126" t="str">
        <x:v>反馈与凭证</x:v>
      </x:c>
      <x:c r="C26" s="126" t="str">
        <x:v>凭证元数据、权限与预览</x:v>
      </x:c>
      <x:c r="D26" s="97" t="n">
        <x:v>46267.166666666664</x:v>
      </x:c>
      <x:c r="E26" s="97" t="n">
        <x:v>46268.166666666664</x:v>
      </x:c>
      <x:c r="F26" s="98" t="n">
        <x:f>NETWORKDAYS(D26,E26)</x:f>
        <x:v>2</x:v>
      </x:c>
      <x:c r="G26" s="99" t="str">
        <x:v>全栈开发</x:v>
      </x:c>
      <x:c r="H26" s="126" t="str">
        <x:v>T021</x:v>
      </x:c>
      <x:c r="I26" s="126" t="str">
        <x:v>凭证详情</x:v>
      </x:c>
      <x:c r="J26" s="126" t="str">
        <x:v>无权用户不能获取文件</x:v>
      </x:c>
      <x:c r="K26" s="98" t="str">
        <x:v>未开始</x:v>
      </x:c>
      <x:c r="L26" s="127" t="str">
        <x:v>P0</x:v>
      </x:c>
    </x:row>
    <x:row r="27">
      <x:c r="A27" s="125" t="str">
        <x:v>T023</x:v>
      </x:c>
      <x:c r="B27" s="126" t="str">
        <x:v>反馈与凭证</x:v>
      </x:c>
      <x:c r="C27" s="126" t="str">
        <x:v>强制凭证与弱网重试</x:v>
      </x:c>
      <x:c r="D27" s="97" t="n">
        <x:v>46268.166666666664</x:v>
      </x:c>
      <x:c r="E27" s="97" t="n">
        <x:v>46269.166666666664</x:v>
      </x:c>
      <x:c r="F27" s="98" t="n">
        <x:f>NETWORKDAYS(D27,E27)</x:f>
        <x:v>2</x:v>
      </x:c>
      <x:c r="G27" s="99" t="str">
        <x:v>全栈/QA</x:v>
      </x:c>
      <x:c r="H27" s="126" t="str">
        <x:v>T021,T022</x:v>
      </x:c>
      <x:c r="I27" s="126" t="str">
        <x:v>异常处理</x:v>
      </x:c>
      <x:c r="J27" s="126" t="str">
        <x:v>缺少凭证无法完成，失败可重试</x:v>
      </x:c>
      <x:c r="K27" s="98" t="str">
        <x:v>未开始</x:v>
      </x:c>
      <x:c r="L27" s="127" t="str">
        <x:v>P0</x:v>
      </x:c>
    </x:row>
    <x:row r="28">
      <x:c r="A28" s="125" t="str">
        <x:v>T024</x:v>
      </x:c>
      <x:c r="B28" s="126" t="str">
        <x:v>检索与通知</x:v>
      </x:c>
      <x:c r="C28" s="126" t="str">
        <x:v>名称、编号、日期组合检索</x:v>
      </x:c>
      <x:c r="D28" s="97" t="n">
        <x:v>46272.166666666664</x:v>
      </x:c>
      <x:c r="E28" s="97" t="n">
        <x:v>46273.166666666664</x:v>
      </x:c>
      <x:c r="F28" s="98" t="n">
        <x:f>NETWORKDAYS(D28,E28)</x:f>
        <x:v>2</x:v>
      </x:c>
      <x:c r="G28" s="99" t="str">
        <x:v>全栈开发</x:v>
      </x:c>
      <x:c r="H28" s="126" t="str">
        <x:v>T008</x:v>
      </x:c>
      <x:c r="I28" s="126" t="str">
        <x:v>检索页面/API</x:v>
      </x:c>
      <x:c r="J28" s="126" t="str">
        <x:v>结果准确且不越权</x:v>
      </x:c>
      <x:c r="K28" s="98" t="str">
        <x:v>未开始</x:v>
      </x:c>
      <x:c r="L28" s="127" t="str">
        <x:v>P0</x:v>
      </x:c>
    </x:row>
    <x:row r="29">
      <x:c r="A29" s="125" t="str">
        <x:v>T025</x:v>
      </x:c>
      <x:c r="B29" s="126" t="str">
        <x:v>检索与通知</x:v>
      </x:c>
      <x:c r="C29" s="126" t="str">
        <x:v>数据库索引与分页优化</x:v>
      </x:c>
      <x:c r="D29" s="97" t="n">
        <x:v>46273.166666666664</x:v>
      </x:c>
      <x:c r="E29" s="97" t="n">
        <x:v>46273.166666666664</x:v>
      </x:c>
      <x:c r="F29" s="98" t="n">
        <x:f>NETWORKDAYS(D29,E29)</x:f>
        <x:v>1</x:v>
      </x:c>
      <x:c r="G29" s="99" t="str">
        <x:v>后端开发</x:v>
      </x:c>
      <x:c r="H29" s="126" t="str">
        <x:v>T024</x:v>
      </x:c>
      <x:c r="I29" s="126" t="str">
        <x:v>索引配置</x:v>
      </x:c>
      <x:c r="J29" s="126" t="str">
        <x:v>典型查询满足性能门槛</x:v>
      </x:c>
      <x:c r="K29" s="98" t="str">
        <x:v>未开始</x:v>
      </x:c>
      <x:c r="L29" s="127" t="str">
        <x:v>P0</x:v>
      </x:c>
    </x:row>
    <x:row r="30">
      <x:c r="A30" s="125" t="str">
        <x:v>T026</x:v>
      </x:c>
      <x:c r="B30" s="126" t="str">
        <x:v>检索与通知</x:v>
      </x:c>
      <x:c r="C30" s="126" t="str">
        <x:v>订阅授权入口与模板配置</x:v>
      </x:c>
      <x:c r="D30" s="97" t="n">
        <x:v>46273.166666666664</x:v>
      </x:c>
      <x:c r="E30" s="97" t="n">
        <x:v>46274.166666666664</x:v>
      </x:c>
      <x:c r="F30" s="98" t="n">
        <x:f>NETWORKDAYS(D30,E30)</x:f>
        <x:v>2</x:v>
      </x:c>
      <x:c r="G30" s="99" t="str">
        <x:v>前端/产品</x:v>
      </x:c>
      <x:c r="H30" s="126" t="str">
        <x:v>T005</x:v>
      </x:c>
      <x:c r="I30" s="126" t="str">
        <x:v>订阅配置</x:v>
      </x:c>
      <x:c r="J30" s="126" t="str">
        <x:v>用户主动操作可触发授权</x:v>
      </x:c>
      <x:c r="K30" s="98" t="str">
        <x:v>未开始</x:v>
      </x:c>
      <x:c r="L30" s="127" t="str">
        <x:v>P0</x:v>
      </x:c>
    </x:row>
    <x:row r="31">
      <x:c r="A31" s="125" t="str">
        <x:v>T027</x:v>
      </x:c>
      <x:c r="B31" s="126" t="str">
        <x:v>检索与通知</x:v>
      </x:c>
      <x:c r="C31" s="126" t="str">
        <x:v>节点到达通知与失败重试</x:v>
      </x:c>
      <x:c r="D31" s="97" t="n">
        <x:v>46274.166666666664</x:v>
      </x:c>
      <x:c r="E31" s="97" t="n">
        <x:v>46275.166666666664</x:v>
      </x:c>
      <x:c r="F31" s="98" t="n">
        <x:f>NETWORKDAYS(D31,E31)</x:f>
        <x:v>2</x:v>
      </x:c>
      <x:c r="G31" s="99" t="str">
        <x:v>后端开发</x:v>
      </x:c>
      <x:c r="H31" s="126" t="str">
        <x:v>T012,T026</x:v>
      </x:c>
      <x:c r="I31" s="126" t="str">
        <x:v>消息任务</x:v>
      </x:c>
      <x:c r="J31" s="126" t="str">
        <x:v>成功/失败状态可追踪</x:v>
      </x:c>
      <x:c r="K31" s="98" t="str">
        <x:v>未开始</x:v>
      </x:c>
      <x:c r="L31" s="127" t="str">
        <x:v>P0</x:v>
      </x:c>
    </x:row>
    <x:row r="32">
      <x:c r="A32" s="125" t="str">
        <x:v>T028</x:v>
      </x:c>
      <x:c r="B32" s="126" t="str">
        <x:v>检索与通知</x:v>
      </x:c>
      <x:c r="C32" s="126" t="str">
        <x:v>首页待办与站内通知兜底</x:v>
      </x:c>
      <x:c r="D32" s="97" t="n">
        <x:v>46275.166666666664</x:v>
      </x:c>
      <x:c r="E32" s="97" t="n">
        <x:v>46276.166666666664</x:v>
      </x:c>
      <x:c r="F32" s="98" t="n">
        <x:f>NETWORKDAYS(D32,E32)</x:f>
        <x:v>2</x:v>
      </x:c>
      <x:c r="G32" s="99" t="str">
        <x:v>前端开发</x:v>
      </x:c>
      <x:c r="H32" s="126" t="str">
        <x:v>T027</x:v>
      </x:c>
      <x:c r="I32" s="126" t="str">
        <x:v>待办中心</x:v>
      </x:c>
      <x:c r="J32" s="126" t="str">
        <x:v>拒绝订阅仍可看到待办</x:v>
      </x:c>
      <x:c r="K32" s="98" t="str">
        <x:v>未开始</x:v>
      </x:c>
      <x:c r="L32" s="127" t="str">
        <x:v>P0</x:v>
      </x:c>
    </x:row>
    <x:row r="33">
      <x:c r="A33" s="125" t="str">
        <x:v>T029</x:v>
      </x:c>
      <x:c r="B33" s="126" t="str">
        <x:v>质量与安全</x:v>
      </x:c>
      <x:c r="C33" s="126" t="str">
        <x:v>云函数单元与集成测试</x:v>
      </x:c>
      <x:c r="D33" s="97" t="n">
        <x:v>46279.166666666664</x:v>
      </x:c>
      <x:c r="E33" s="97" t="n">
        <x:v>46281.166666666664</x:v>
      </x:c>
      <x:c r="F33" s="98" t="n">
        <x:f>NETWORKDAYS(D33,E33)</x:f>
        <x:v>3</x:v>
      </x:c>
      <x:c r="G33" s="99" t="str">
        <x:v>QA/后端</x:v>
      </x:c>
      <x:c r="H33" s="126" t="str">
        <x:v>T023,T028</x:v>
      </x:c>
      <x:c r="I33" s="126" t="str">
        <x:v>自动化测试</x:v>
      </x:c>
      <x:c r="J33" s="126" t="str">
        <x:v>核心权限和状态机覆盖率达标</x:v>
      </x:c>
      <x:c r="K33" s="98" t="str">
        <x:v>进行中</x:v>
      </x:c>
      <x:c r="L33" s="127" t="str">
        <x:v>P0</x:v>
      </x:c>
    </x:row>
    <x:row r="34">
      <x:c r="A34" s="125" t="str">
        <x:v>T030</x:v>
      </x:c>
      <x:c r="B34" s="126" t="str">
        <x:v>质量与安全</x:v>
      </x:c>
      <x:c r="C34" s="126" t="str">
        <x:v>真机兼容、弱网与文件测试</x:v>
      </x:c>
      <x:c r="D34" s="97" t="n">
        <x:v>46280.166666666664</x:v>
      </x:c>
      <x:c r="E34" s="97" t="n">
        <x:v>46282.166666666664</x:v>
      </x:c>
      <x:c r="F34" s="98" t="n">
        <x:f>NETWORKDAYS(D34,E34)</x:f>
        <x:v>3</x:v>
      </x:c>
      <x:c r="G34" s="99" t="str">
        <x:v>QA/前端</x:v>
      </x:c>
      <x:c r="H34" s="126" t="str">
        <x:v>T023</x:v>
      </x:c>
      <x:c r="I34" s="126" t="str">
        <x:v>真机报告</x:v>
      </x:c>
      <x:c r="J34" s="126" t="str">
        <x:v>主流 iOS/Android 场景通过</x:v>
      </x:c>
      <x:c r="K34" s="98" t="str">
        <x:v>未开始</x:v>
      </x:c>
      <x:c r="L34" s="127" t="str">
        <x:v>P0</x:v>
      </x:c>
    </x:row>
    <x:row r="35">
      <x:c r="A35" s="125" t="str">
        <x:v>T031</x:v>
      </x:c>
      <x:c r="B35" s="126" t="str">
        <x:v>质量与安全</x:v>
      </x:c>
      <x:c r="C35" s="126" t="str">
        <x:v>安全审查、隐私清单与性能优化</x:v>
      </x:c>
      <x:c r="D35" s="97" t="n">
        <x:v>46281.166666666664</x:v>
      </x:c>
      <x:c r="E35" s="97" t="n">
        <x:v>46283.166666666664</x:v>
      </x:c>
      <x:c r="F35" s="98" t="n">
        <x:f>NETWORKDAYS(D35,E35)</x:f>
        <x:v>3</x:v>
      </x:c>
      <x:c r="G35" s="99" t="str">
        <x:v>技术/产品</x:v>
      </x:c>
      <x:c r="H35" s="126" t="str">
        <x:v>T029,T030</x:v>
      </x:c>
      <x:c r="I35" s="126" t="str">
        <x:v>发布检查表</x:v>
      </x:c>
      <x:c r="J35" s="126" t="str">
        <x:v>越权、敏感信息和性能问题关闭</x:v>
      </x:c>
      <x:c r="K35" s="98" t="str">
        <x:v>未开始</x:v>
      </x:c>
      <x:c r="L35" s="127" t="str">
        <x:v>P0</x:v>
      </x:c>
    </x:row>
    <x:row r="36">
      <x:c r="A36" s="125" t="str">
        <x:v>T032</x:v>
      </x:c>
      <x:c r="B36" s="126" t="str">
        <x:v>UAT 与发布准备</x:v>
      </x:c>
      <x:c r="C36" s="126" t="str">
        <x:v>真实业务模板与种子数据</x:v>
      </x:c>
      <x:c r="D36" s="97" t="n">
        <x:v>46286.166666666664</x:v>
      </x:c>
      <x:c r="E36" s="97" t="n">
        <x:v>46286.166666666664</x:v>
      </x:c>
      <x:c r="F36" s="98" t="n">
        <x:f>NETWORKDAYS(D36,E36)</x:f>
        <x:v>1</x:v>
      </x:c>
      <x:c r="G36" s="99" t="str">
        <x:v>产品/运营</x:v>
      </x:c>
      <x:c r="H36" s="126" t="str">
        <x:v>T031</x:v>
      </x:c>
      <x:c r="I36" s="126" t="str">
        <x:v>UAT 数据</x:v>
      </x:c>
      <x:c r="J36" s="126" t="str">
        <x:v>覆盖至少两类真实业务</x:v>
      </x:c>
      <x:c r="K36" s="98" t="str">
        <x:v>未开始</x:v>
      </x:c>
      <x:c r="L36" s="127" t="str">
        <x:v>P0</x:v>
      </x:c>
    </x:row>
    <x:row r="37">
      <x:c r="A37" s="125" t="str">
        <x:v>T033</x:v>
      </x:c>
      <x:c r="B37" s="126" t="str">
        <x:v>UAT 与发布准备</x:v>
      </x:c>
      <x:c r="C37" s="126" t="str">
        <x:v>UAT 演练与缺陷修复</x:v>
      </x:c>
      <x:c r="D37" s="97" t="n">
        <x:v>46286.166666666664</x:v>
      </x:c>
      <x:c r="E37" s="97" t="n">
        <x:v>46288.166666666664</x:v>
      </x:c>
      <x:c r="F37" s="98" t="n">
        <x:f>NETWORKDAYS(D37,E37)</x:f>
        <x:v>3</x:v>
      </x:c>
      <x:c r="G37" s="99" t="str">
        <x:v>全员</x:v>
      </x:c>
      <x:c r="H37" s="126" t="str">
        <x:v>T032</x:v>
      </x:c>
      <x:c r="I37" s="126" t="str">
        <x:v>UAT 报告</x:v>
      </x:c>
      <x:c r="J37" s="126" t="str">
        <x:v>P0/P1 缺陷清零</x:v>
      </x:c>
      <x:c r="K37" s="98" t="str">
        <x:v>未开始</x:v>
      </x:c>
      <x:c r="L37" s="127" t="str">
        <x:v>P0</x:v>
      </x:c>
    </x:row>
    <x:row r="38">
      <x:c r="A38" s="125" t="str">
        <x:v>T034</x:v>
      </x:c>
      <x:c r="B38" s="126" t="str">
        <x:v>UAT 与发布准备</x:v>
      </x:c>
      <x:c r="C38" s="126" t="str">
        <x:v>隐私指引、类目与提审材料</x:v>
      </x:c>
      <x:c r="D38" s="97" t="n">
        <x:v>46287.166666666664</x:v>
      </x:c>
      <x:c r="E38" s="97" t="n">
        <x:v>46289.166666666664</x:v>
      </x:c>
      <x:c r="F38" s="98" t="n">
        <x:f>NETWORKDAYS(D38,E38)</x:f>
        <x:v>3</x:v>
      </x:c>
      <x:c r="G38" s="99" t="str">
        <x:v>产品/运营</x:v>
      </x:c>
      <x:c r="H38" s="126" t="str">
        <x:v>T031</x:v>
      </x:c>
      <x:c r="I38" s="126" t="str">
        <x:v>提审材料</x:v>
      </x:c>
      <x:c r="J38" s="126" t="str">
        <x:v>平台配置完整、文案一致</x:v>
      </x:c>
      <x:c r="K38" s="98" t="str">
        <x:v>未开始</x:v>
      </x:c>
      <x:c r="L38" s="127" t="str">
        <x:v>P0</x:v>
      </x:c>
    </x:row>
    <x:row r="39">
      <x:c r="A39" s="128" t="str">
        <x:v>T035</x:v>
      </x:c>
      <x:c r="B39" s="129" t="str">
        <x:v>UAT 与发布准备</x:v>
      </x:c>
      <x:c r="C39" s="129" t="str">
        <x:v>体验版发布与上线评审</x:v>
      </x:c>
      <x:c r="D39" s="108" t="n">
        <x:v>46289.166666666664</x:v>
      </x:c>
      <x:c r="E39" s="108" t="n">
        <x:v>46290.166666666664</x:v>
      </x:c>
      <x:c r="F39" s="109" t="n">
        <x:f>NETWORKDAYS(D39,E39)</x:f>
        <x:v>2</x:v>
      </x:c>
      <x:c r="G39" s="110" t="str">
        <x:v>技术/产品</x:v>
      </x:c>
      <x:c r="H39" s="129" t="str">
        <x:v>T033,T034</x:v>
      </x:c>
      <x:c r="I39" s="129" t="str">
        <x:v>体验版</x:v>
      </x:c>
      <x:c r="J39" s="129" t="str">
        <x:v>上线评审通过并形成回滚方案</x:v>
      </x:c>
      <x:c r="K39" s="109" t="str">
        <x:v>未开始</x:v>
      </x:c>
      <x:c r="L39" s="130" t="str">
        <x:v>P0</x:v>
      </x:c>
    </x:row>
  </x:sheetData>
  <x:mergeCells>
    <x:mergeCell ref="A1:L1"/>
    <x:mergeCell ref="A2:L2"/>
  </x:mergeCells>
  <x:conditionalFormatting sqref="K5:K39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待配置"/>
  </x:conditionalFormatting>
  <x:dataValidations count="2">
    <x:dataValidation type="list" sqref="K5:K39">
      <x:formula1>"未开始,进行中,已完成,待配置,已阻塞"</x:formula1>
    </x:dataValidation>
    <x:dataValidation type="list" sqref="L5:L39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42" hidden="0" customWidth="1"/>
    <x:col min="5" max="5" width="16" hidden="0" customWidth="1"/>
    <x:col min="6" max="6" width="12" hidden="0" customWidth="1"/>
    <x:col min="7" max="7" width="30" hidden="0" customWidth="1"/>
  </x:cols>
  <x:sheetData>
    <x:row r="1" ht="34" customHeight="1">
      <x:c r="A1" s="120" t="str">
        <x:v>里程碑与验收门槛</x:v>
      </x:c>
      <x:c r="B1" s="90"/>
      <x:c r="C1" s="90"/>
      <x:c r="D1" s="90"/>
      <x:c r="E1" s="90"/>
      <x:c r="F1" s="90"/>
      <x:c r="G1" s="90"/>
    </x:row>
    <x:row r="2" ht="24" customHeight="1">
      <x:c r="A2" s="121" t="str">
        <x:v>每个里程碑只有在验收条件全部满足后才能进入下一阶段；P0 缺陷未清零不得提审。</x:v>
      </x:c>
      <x:c r="B2" s="90"/>
      <x:c r="C2" s="90"/>
      <x:c r="D2" s="90"/>
      <x:c r="E2" s="90"/>
      <x:c r="F2" s="90"/>
      <x:c r="G2" s="90"/>
    </x:row>
    <x:row r="3">
      <x:c r="A3" s="90"/>
      <x:c r="B3" s="90"/>
      <x:c r="C3" s="90"/>
      <x:c r="D3" s="90"/>
      <x:c r="E3" s="90"/>
      <x:c r="F3" s="90"/>
      <x:c r="G3" s="90"/>
    </x:row>
    <x:row r="4">
      <x:c r="A4" s="143" t="str">
        <x:v>里程碑</x:v>
      </x:c>
      <x:c r="B4" s="144" t="str">
        <x:v>名称</x:v>
      </x:c>
      <x:c r="C4" s="144" t="str">
        <x:v>计划日期</x:v>
      </x:c>
      <x:c r="D4" s="144" t="str">
        <x:v>验收条件</x:v>
      </x:c>
      <x:c r="E4" s="144" t="str">
        <x:v>验收责任</x:v>
      </x:c>
      <x:c r="F4" s="144" t="str">
        <x:v>状态</x:v>
      </x:c>
      <x:c r="G4" s="145" t="str">
        <x:v>备注</x:v>
      </x:c>
    </x:row>
    <x:row r="5">
      <x:c r="A5" s="125" t="str">
        <x:v>M0</x:v>
      </x:c>
      <x:c r="B5" s="98" t="str">
        <x:v>技术基线</x:v>
      </x:c>
      <x:c r="C5" s="97" t="n">
        <x:v>46241.166666666664</x:v>
      </x:c>
      <x:c r="D5" s="126" t="str">
        <x:v>工程可导入；方案/数据模型/排期完成</x:v>
      </x:c>
      <x:c r="E5" s="126" t="str">
        <x:v>技术负责人</x:v>
      </x:c>
      <x:c r="F5" s="126" t="str">
        <x:v>未验收</x:v>
      </x:c>
      <x:c r="G5" s="134" t="str">
        <x:v>真实 AppID 和云环境由项目方提供</x:v>
      </x:c>
    </x:row>
    <x:row r="6">
      <x:c r="A6" s="125" t="str">
        <x:v>M1</x:v>
      </x:c>
      <x:c r="B6" s="98" t="str">
        <x:v>业务线闭环</x:v>
      </x:c>
      <x:c r="C6" s="97" t="n">
        <x:v>46248.166666666664</x:v>
      </x:c>
      <x:c r="D6" s="126" t="str">
        <x:v>创建、列表、详情、编辑、管理员删除可用</x:v>
      </x:c>
      <x:c r="E6" s="126" t="str">
        <x:v>产品+QA</x:v>
      </x:c>
      <x:c r="F6" s="126" t="str">
        <x:v>未验收</x:v>
      </x:c>
      <x:c r="G6" s="134" t="str">
        <x:v>权限用例必须通过</x:v>
      </x:c>
    </x:row>
    <x:row r="7">
      <x:c r="A7" s="125" t="str">
        <x:v>M2</x:v>
      </x:c>
      <x:c r="B7" s="98" t="str">
        <x:v>工作流闭环</x:v>
      </x:c>
      <x:c r="C7" s="97" t="n">
        <x:v>46262.166666666664</x:v>
      </x:c>
      <x:c r="D7" s="126" t="str">
        <x:v>节点流转、模板、邀请加入与负责人绑定可用</x:v>
      </x:c>
      <x:c r="E7" s="126" t="str">
        <x:v>产品+QA</x:v>
      </x:c>
      <x:c r="F7" s="126" t="str">
        <x:v>未验收</x:v>
      </x:c>
      <x:c r="G7" s="134" t="str">
        <x:v>顺序流程，不含复杂并行</x:v>
      </x:c>
    </x:row>
    <x:row r="8">
      <x:c r="A8" s="125" t="str">
        <x:v>M3</x:v>
      </x:c>
      <x:c r="B8" s="98" t="str">
        <x:v>凭证闭环</x:v>
      </x:c>
      <x:c r="C8" s="97" t="n">
        <x:v>46269.166666666664</x:v>
      </x:c>
      <x:c r="D8" s="126" t="str">
        <x:v>图片/PDF 上传、强制校验、预览和历史可用</x:v>
      </x:c>
      <x:c r="E8" s="126" t="str">
        <x:v>产品+QA</x:v>
      </x:c>
      <x:c r="F8" s="126" t="str">
        <x:v>未验收</x:v>
      </x:c>
      <x:c r="G8" s="134" t="str">
        <x:v>需真机和弱网测试</x:v>
      </x:c>
    </x:row>
    <x:row r="9">
      <x:c r="A9" s="125" t="str">
        <x:v>M4</x:v>
      </x:c>
      <x:c r="B9" s="98" t="str">
        <x:v>检索与提醒</x:v>
      </x:c>
      <x:c r="C9" s="97" t="n">
        <x:v>46276.166666666664</x:v>
      </x:c>
      <x:c r="D9" s="126" t="str">
        <x:v>日期/名称/编号检索；节点到达提醒与待办兜底</x:v>
      </x:c>
      <x:c r="E9" s="126" t="str">
        <x:v>产品+QA</x:v>
      </x:c>
      <x:c r="F9" s="126" t="str">
        <x:v>未验收</x:v>
      </x:c>
      <x:c r="G9" s="134" t="str">
        <x:v>订阅模板需平台审核</x:v>
      </x:c>
    </x:row>
    <x:row r="10">
      <x:c r="A10" s="125" t="str">
        <x:v>M5</x:v>
      </x:c>
      <x:c r="B10" s="98" t="str">
        <x:v>功能冻结</x:v>
      </x:c>
      <x:c r="C10" s="97" t="n">
        <x:v>46283.166666666664</x:v>
      </x:c>
      <x:c r="D10" s="126" t="str">
        <x:v>P0 功能完成；安全、性能、兼容测试通过</x:v>
      </x:c>
      <x:c r="E10" s="126" t="str">
        <x:v>技术负责人</x:v>
      </x:c>
      <x:c r="F10" s="126" t="str">
        <x:v>未验收</x:v>
      </x:c>
      <x:c r="G10" s="134" t="str">
        <x:v>只接受阻断性修复</x:v>
      </x:c>
    </x:row>
    <x:row r="11">
      <x:c r="A11" s="128" t="str">
        <x:v>M6</x:v>
      </x:c>
      <x:c r="B11" s="109" t="str">
        <x:v>体验版</x:v>
      </x:c>
      <x:c r="C11" s="108" t="n">
        <x:v>46290.166666666664</x:v>
      </x:c>
      <x:c r="D11" s="129" t="str">
        <x:v>UAT 通过；隐私/类目/提审材料完整；回滚方案就绪</x:v>
      </x:c>
      <x:c r="E11" s="129" t="str">
        <x:v>项目负责人</x:v>
      </x:c>
      <x:c r="F11" s="129" t="str">
        <x:v>未验收</x:v>
      </x:c>
      <x:c r="G11" s="135" t="str">
        <x:v>提审时间受微信审核影响</x:v>
      </x:c>
    </x:row>
    <x:row r="12">
      <x:c r="A12" s="90"/>
      <x:c r="B12" s="90"/>
      <x:c r="C12" s="90"/>
      <x:c r="D12" s="90"/>
      <x:c r="E12" s="90"/>
      <x:c r="F12" s="90"/>
      <x:c r="G12" s="90"/>
    </x:row>
    <x:row r="13">
      <x:c r="A13" s="90"/>
      <x:c r="B13" s="90"/>
      <x:c r="C13" s="90"/>
      <x:c r="D13" s="90"/>
      <x:c r="E13" s="90"/>
      <x:c r="F13" s="90"/>
      <x:c r="G13" s="90"/>
    </x:row>
    <x:row r="14" ht="48" customHeight="1">
      <x:c r="A14" s="154" t="str">
        <x:v>资源假设：1 名产品/项目负责人（兼任）、1 名前端、1 名后端、1 名 QA（第 5 周起投入）、运维与运营按需参与。若由 1 名开发者独立实施，建议整体顺延 4-6 周。</x:v>
      </x:c>
      <x:c r="B14" s="90"/>
      <x:c r="C14" s="90"/>
      <x:c r="D14" s="90"/>
      <x:c r="E14" s="90"/>
      <x:c r="F14" s="90"/>
      <x:c r="G14" s="90"/>
    </x:row>
  </x:sheetData>
  <x:mergeCells>
    <x:mergeCell ref="A1:G1"/>
    <x:mergeCell ref="A2:G2"/>
    <x:mergeCell ref="A14:G14"/>
  </x:mergeCells>
  <x:dataValidations count="1">
    <x:dataValidation type="list" sqref="F5:F11">
      <x:formula1>"未验收,验收中,已通过,未通过"</x:formula1>
    </x:dataValidation>
  </x:dataValidations>
  <x:pageMargins left="0.7" right="0.7" top="0.75" bottom="0.75" header="0.3" footer="0.3"/>
</x:worksheet>
</file>